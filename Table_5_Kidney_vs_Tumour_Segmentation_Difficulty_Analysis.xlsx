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resh thesis August 2026\Machine learning Account 7\Final File Dissertation\Tables from Outputs\"/>
    </mc:Choice>
  </mc:AlternateContent>
  <xr:revisionPtr revIDLastSave="0" documentId="13_ncr:1_{E479A7B8-3BA2-4EBF-8437-244EA7C4BC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dney vs Tumo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F6" i="1"/>
  <c r="E6" i="1"/>
  <c r="D6" i="1"/>
  <c r="D5" i="1"/>
</calcChain>
</file>

<file path=xl/sharedStrings.xml><?xml version="1.0" encoding="utf-8"?>
<sst xmlns="http://schemas.openxmlformats.org/spreadsheetml/2006/main" count="13" uniqueCount="13">
  <si>
    <t>Dice-based comparison derived from the final reported results; improvement is measured against the 3D U-Net baseline.</t>
  </si>
  <si>
    <t>Model</t>
  </si>
  <si>
    <t>Kidney Dice</t>
  </si>
  <si>
    <t>Tumour Dice</t>
  </si>
  <si>
    <t>Kidney–Tumour Gap</t>
  </si>
  <si>
    <t>Tumour Dice Gain vs Baseline</t>
  </si>
  <si>
    <t>Relative Tumour Improvement</t>
  </si>
  <si>
    <t>3D U-Net</t>
  </si>
  <si>
    <t>nnU-Net</t>
  </si>
  <si>
    <t>Enhanced Attention Transformer U-Net</t>
  </si>
  <si>
    <t>Key Interpretation</t>
  </si>
  <si>
    <t>Tumour segmentation is consistently more difficult than kidney segmentation. The kidney–tumour Dice gap decreases from 0.230 for 3D U-Net to 0.182 for nnU-Net and 0.137 for the Enhanced Attention Transformer U-Net. Relative to the 3D U-Net baseline, tumour Dice improves by about 12.3% for nnU-Net and 22.1% for the enhanced model.</t>
  </si>
  <si>
    <t>Kidney vs Tumour Segmentation Difficulty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</si>
</sst>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6">
    <font>
      <sz val="11"/>
      <name val="Carlito"/>
    </font>
    <font>
      <b/>
      <sz val="14"/>
      <color rgb="FFFFFFFF"/>
      <name val="Carlito"/>
    </font>
    <font>
      <i/>
      <sz val="11"/>
      <color rgb="FF203864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274E1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4" fillId="5" borderId="0" xfId="0" applyFont="1" applyFill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165" fontId="4" fillId="5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5" fillId="6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4" sqref="F4"/>
    </sheetView>
  </sheetViews>
  <sheetFormatPr defaultRowHeight="14"/>
  <cols>
    <col min="1" max="1" width="34" customWidth="1"/>
    <col min="2" max="3" width="15" customWidth="1"/>
    <col min="4" max="5" width="22" customWidth="1"/>
    <col min="6" max="6" width="24" customWidth="1"/>
  </cols>
  <sheetData>
    <row r="1" spans="1:6" ht="18.649999999999999" customHeight="1">
      <c r="A1" s="8" t="s">
        <v>12</v>
      </c>
      <c r="B1" s="8"/>
      <c r="C1" s="8"/>
      <c r="D1" s="8"/>
      <c r="E1" s="8"/>
      <c r="F1" s="8"/>
    </row>
    <row r="2" spans="1:6" ht="22.65" customHeight="1">
      <c r="A2" s="9" t="s">
        <v>0</v>
      </c>
      <c r="B2" s="9"/>
      <c r="C2" s="9"/>
      <c r="D2" s="9"/>
      <c r="E2" s="9"/>
      <c r="F2" s="9"/>
    </row>
    <row r="3" spans="1:6" ht="14.65" customHeight="1"/>
    <row r="4" spans="1:6" ht="14.6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4.65" customHeight="1">
      <c r="A5" s="2" t="s">
        <v>7</v>
      </c>
      <c r="B5" s="3">
        <v>0.872</v>
      </c>
      <c r="C5" s="3">
        <v>0.64200000000000002</v>
      </c>
      <c r="D5" s="3">
        <f>B5-C5</f>
        <v>0.22999999999999998</v>
      </c>
      <c r="E5" s="3">
        <v>0</v>
      </c>
      <c r="F5" s="4">
        <v>0</v>
      </c>
    </row>
    <row r="6" spans="1:6" ht="14.65" customHeight="1">
      <c r="A6" s="2" t="s">
        <v>8</v>
      </c>
      <c r="B6" s="3">
        <v>0.90300000000000002</v>
      </c>
      <c r="C6" s="3">
        <v>0.72099999999999997</v>
      </c>
      <c r="D6" s="3">
        <f>B6-C6</f>
        <v>0.18200000000000005</v>
      </c>
      <c r="E6" s="3">
        <f>C6-$C$5</f>
        <v>7.8999999999999959E-2</v>
      </c>
      <c r="F6" s="4">
        <f>(C6-$C$5)/$C$5</f>
        <v>0.12305295950155756</v>
      </c>
    </row>
    <row r="7" spans="1:6" ht="14.65" customHeight="1">
      <c r="A7" s="5" t="s">
        <v>9</v>
      </c>
      <c r="B7" s="6">
        <v>0.92100000000000004</v>
      </c>
      <c r="C7" s="6">
        <v>0.78400000000000003</v>
      </c>
      <c r="D7" s="6">
        <f>B7-C7</f>
        <v>0.13700000000000001</v>
      </c>
      <c r="E7" s="6">
        <f>C7-$C$5</f>
        <v>0.14200000000000002</v>
      </c>
      <c r="F7" s="7">
        <f>(C7-$C$5)/$C$5</f>
        <v>0.22118380062305298</v>
      </c>
    </row>
    <row r="9" spans="1:6">
      <c r="A9" s="10" t="s">
        <v>10</v>
      </c>
      <c r="B9" s="10"/>
      <c r="C9" s="10"/>
      <c r="D9" s="10"/>
      <c r="E9" s="10"/>
      <c r="F9" s="10"/>
    </row>
    <row r="10" spans="1:6" ht="22.65" customHeight="1">
      <c r="A10" s="11" t="s">
        <v>11</v>
      </c>
      <c r="B10" s="11"/>
      <c r="C10" s="11"/>
      <c r="D10" s="11"/>
      <c r="E10" s="11"/>
      <c r="F10" s="11"/>
    </row>
    <row r="11" spans="1:6" ht="22.65" customHeight="1">
      <c r="A11" s="11"/>
      <c r="B11" s="11"/>
      <c r="C11" s="11"/>
      <c r="D11" s="11"/>
      <c r="E11" s="11"/>
      <c r="F11" s="11"/>
    </row>
  </sheetData>
  <mergeCells count="4">
    <mergeCell ref="A1:F1"/>
    <mergeCell ref="A2:F2"/>
    <mergeCell ref="A9:F9"/>
    <mergeCell ref="A10:F11"/>
  </mergeCells>
  <conditionalFormatting sqref="F5:F7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{C4EEBA23-5A8D-B6C3-A136-B2ECC04E312B}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EEBA23-5A8D-B6C3-A136-B2ECC04E312B}">
            <x14:dataBar>
              <x14:cfvo type="min"/>
              <x14:cfvo type="max"/>
              <x14:negativeFillColor auto="1"/>
              <x14:axisColor auto="1"/>
            </x14:dataBar>
          </x14:cfRule>
          <xm:sqref>F5:F7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 vs Tumour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Haider</cp:lastModifiedBy>
  <dcterms:modified xsi:type="dcterms:W3CDTF">2026-09-09T09:35:59Z</dcterms:modified>
</cp:coreProperties>
</file>